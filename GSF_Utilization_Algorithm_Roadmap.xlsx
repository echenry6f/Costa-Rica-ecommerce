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Flow" sheetId="1" state="visible" r:id="rId1"/>
    <sheet xmlns:r="http://schemas.openxmlformats.org/officeDocument/2006/relationships" name="Worked Example — Washington" sheetId="2" state="visible" r:id="rId2"/>
    <sheet xmlns:r="http://schemas.openxmlformats.org/officeDocument/2006/relationships" name="Formula Card" sheetId="3" state="visible" r:id="rId3"/>
    <sheet xmlns:r="http://schemas.openxmlformats.org/officeDocument/2006/relationships" name="How We Figured It Out" sheetId="4" state="visible" r:id="rId4"/>
    <sheet xmlns:r="http://schemas.openxmlformats.org/officeDocument/2006/relationships" name="One-Pag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F4E79"/>
      <sz val="16"/>
    </font>
    <font>
      <name val="Consolas"/>
      <i val="1"/>
      <color rgb="00833C0C"/>
      <sz val="11"/>
    </font>
    <font>
      <name val="Calibri"/>
      <i val="1"/>
      <color rgb="00666666"/>
      <sz val="9"/>
    </font>
    <font>
      <name val="Calibri"/>
      <b val="1"/>
      <color rgb="00006100"/>
      <sz val="10"/>
    </font>
    <font>
      <name val="Calibri"/>
      <i val="1"/>
      <color rgb="00C65911"/>
      <sz val="11"/>
    </font>
    <font>
      <name val="Calibri"/>
      <b val="1"/>
      <color rgb="00FFFFFF"/>
      <sz val="14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006100"/>
      <sz val="14"/>
    </font>
  </fonts>
  <fills count="1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183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 style="medium">
        <color rgb="001F4E79"/>
      </left>
      <right/>
      <top/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/>
      <bottom/>
      <diagonal/>
    </border>
    <border>
      <left style="medium">
        <color rgb="001F4E79"/>
      </left>
      <right/>
      <top/>
      <bottom style="medium">
        <color rgb="001F4E79"/>
      </bottom>
      <diagonal/>
    </border>
    <border>
      <left/>
      <right/>
      <top/>
      <bottom style="medium">
        <color rgb="001F4E79"/>
      </bottom>
      <diagonal/>
    </border>
    <border>
      <left/>
      <right style="medium">
        <color rgb="001F4E79"/>
      </right>
      <top/>
      <bottom style="medium">
        <color rgb="001F4E79"/>
      </bottom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7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8" borderId="1" pivotButton="0" quotePrefix="0" xfId="0"/>
    <xf numFmtId="0" fontId="0" fillId="2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8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3" borderId="1" pivotButton="0" quotePrefix="0" xfId="0"/>
    <xf numFmtId="0" fontId="12" fillId="9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4" fillId="4" borderId="2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" customWidth="1" min="4" max="4"/>
    <col width="14" customWidth="1" min="5" max="5"/>
    <col width="14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8" customWidth="1" min="12" max="12"/>
  </cols>
  <sheetData>
    <row r="1" ht="28" customHeight="1">
      <c r="A1" s="1" t="inlineStr">
        <is>
          <t>GSF Utilization — Algorithm Roadmap (illustrated)</t>
        </is>
      </c>
    </row>
    <row r="2" ht="32" customHeight="1">
      <c r="A2" s="2" t="inlineStr">
        <is>
          <t>Roads Export job-days + physical set inventory → office GU percentages. Green = locked. Yellow = calculated. Blue = inputs. Orange = still provisional.</t>
        </is>
      </c>
    </row>
    <row r="3">
      <c r="A3" s="3" t="inlineStr">
        <is>
          <t>LEGEND</t>
        </is>
      </c>
      <c r="B3" s="4" t="inlineStr">
        <is>
          <t>Input</t>
        </is>
      </c>
      <c r="C3" s="5" t="inlineStr">
        <is>
          <t>Calculate</t>
        </is>
      </c>
      <c r="D3" s="6" t="inlineStr">
        <is>
          <t>Validated output</t>
        </is>
      </c>
      <c r="E3" s="7" t="inlineStr">
        <is>
          <t>Provisional</t>
        </is>
      </c>
    </row>
    <row r="5">
      <c r="A5" s="8" t="inlineStr">
        <is>
          <t>STEP 1 — INPUTS</t>
        </is>
      </c>
    </row>
    <row r="7" ht="22" customHeight="1">
      <c r="A7" s="9" t="inlineStr">
        <is>
          <t>Roads Export Copy
(one row = one job-day)
Filter: Office + Date range</t>
        </is>
      </c>
      <c r="B7" s="10" t="n"/>
      <c r="C7" s="11" t="n"/>
      <c r="E7" s="9" t="inlineStr">
        <is>
          <t>Physical set inventory
(S = sets owned by office)
NOT in Roads</t>
        </is>
      </c>
      <c r="F7" s="10" t="n"/>
      <c r="G7" s="11" t="n"/>
      <c r="I7" s="9" t="inlineStr">
        <is>
          <t>Period calendar
(start date → end date)
Count Mon–Fri weekdays = W</t>
        </is>
      </c>
      <c r="J7" s="10" t="n"/>
      <c r="K7" s="11" t="n"/>
    </row>
    <row r="8" ht="36" customHeight="1">
      <c r="A8" s="12" t="n"/>
      <c r="B8" s="13" t="n"/>
      <c r="C8" s="14" t="n"/>
      <c r="E8" s="12" t="n"/>
      <c r="F8" s="13" t="n"/>
      <c r="G8" s="14" t="n"/>
      <c r="I8" s="12" t="n"/>
      <c r="J8" s="13" t="n"/>
      <c r="K8" s="14" t="n"/>
    </row>
    <row r="9">
      <c r="A9" s="15" t="inlineStr">
        <is>
          <t>↓</t>
        </is>
      </c>
      <c r="E9" s="15" t="inlineStr">
        <is>
          <t>↓</t>
        </is>
      </c>
      <c r="I9" s="15" t="inlineStr">
        <is>
          <t>↓</t>
        </is>
      </c>
    </row>
    <row r="10">
      <c r="A10" s="8" t="inlineStr">
        <is>
          <t>STEP 2 — COUNT FROM ROADS</t>
        </is>
      </c>
    </row>
    <row r="12" ht="22" customHeight="1">
      <c r="A12" s="16" t="inlineStr">
        <is>
          <t>Total Jobs</t>
        </is>
      </c>
      <c r="E12" s="17" t="inlineStr">
        <is>
          <t>GSF Jobs  =  In Field Sets  =  People Saved</t>
        </is>
      </c>
    </row>
    <row r="13" ht="22" customHeight="1">
      <c r="A13" s="18">
        <f> COUNT of filtered Roads rows</f>
        <v/>
      </c>
      <c r="E13" s="19">
        <f> COUNTIFS(GSF Job, "Yes")   // 1 set per GSF job-day, not per AFD device</f>
        <v/>
      </c>
    </row>
    <row r="14">
      <c r="A14" s="15" t="inlineStr">
        <is>
          <t>↓</t>
        </is>
      </c>
      <c r="E14" s="15" t="inlineStr">
        <is>
          <t>↓</t>
        </is>
      </c>
      <c r="I14" s="15" t="inlineStr">
        <is>
          <t>↓</t>
        </is>
      </c>
    </row>
    <row r="15">
      <c r="A15" s="8" t="inlineStr">
        <is>
          <t>STEP 3 — BUILD SETS ON HAND (denominator)</t>
        </is>
      </c>
    </row>
    <row r="17" ht="22" customHeight="1">
      <c r="A17" s="17" t="inlineStr">
        <is>
          <t>Sets on Hand (Working Days)</t>
        </is>
      </c>
    </row>
    <row r="18" ht="22" customHeight="1">
      <c r="A18" s="19">
        <f> S × W   = physical sets × weekday working days (Mon–Fri only)</f>
        <v/>
      </c>
    </row>
    <row r="19">
      <c r="A19" s="20" t="inlineStr">
        <is>
          <t>Weekends do not add capacity. Weekend GSF deployments still count in In Field Sets (numerator).</t>
        </is>
      </c>
    </row>
    <row r="20">
      <c r="A20" s="15" t="inlineStr">
        <is>
          <t>↓</t>
        </is>
      </c>
    </row>
    <row r="21">
      <c r="A21" s="8" t="inlineStr">
        <is>
          <t>STEP 4 — PERCENTAGES</t>
        </is>
      </c>
    </row>
    <row r="23" ht="22" customHeight="1">
      <c r="A23" s="17" t="inlineStr">
        <is>
          <t>GSF Utilization %</t>
        </is>
      </c>
      <c r="E23" s="17" t="inlineStr">
        <is>
          <t>GSF infield set / total jobs %</t>
        </is>
      </c>
      <c r="I23" s="17" t="inlineStr">
        <is>
          <t>People Saved</t>
        </is>
      </c>
    </row>
    <row r="24" ht="22" customHeight="1">
      <c r="A24" s="21">
        <f> In Field Sets ÷ Sets on Hand</f>
        <v/>
      </c>
      <c r="E24" s="21">
        <f> GSF Jobs ÷ Total Jobs</f>
        <v/>
      </c>
      <c r="I24" s="21">
        <f> GSF In Field Sets</f>
        <v/>
      </c>
    </row>
    <row r="25" ht="36" customHeight="1">
      <c r="A25" s="22" t="inlineStr">
        <is>
          <t>VALIDATED
Washington: 14÷(6×5)=47%</t>
        </is>
      </c>
      <c r="E25" s="22" t="inlineStr">
        <is>
          <t>LOCKED
(job-day counts)</t>
        </is>
      </c>
      <c r="I25" s="22" t="inlineStr">
        <is>
          <t>LOCKED
(same number)</t>
        </is>
      </c>
    </row>
    <row r="27">
      <c r="A27" s="23" t="inlineStr">
        <is>
          <t>↓ still open</t>
        </is>
      </c>
    </row>
    <row r="28">
      <c r="A28" s="24" t="inlineStr">
        <is>
          <t>STEP 5 — CREW METRICS (provisional)</t>
        </is>
      </c>
    </row>
    <row r="30" ht="22" customHeight="1">
      <c r="A30" s="25" t="inlineStr">
        <is>
          <t>Flagging Crews ≈ SUM(Assignment Count) [excl. Internal Labour?] [/2?]</t>
        </is>
      </c>
    </row>
    <row r="31" ht="22" customHeight="1">
      <c r="A31" s="25" t="inlineStr">
        <is>
          <t>Total Crews ≈ SUM(Assignment Count) [all jobs, same unit basis]</t>
        </is>
      </c>
    </row>
    <row r="33" ht="22" customHeight="1">
      <c r="A33" s="26" t="inlineStr">
        <is>
          <t>Fulfillment % = In Field Sets ÷ Flagging Crews</t>
        </is>
      </c>
      <c r="E33" s="26" t="inlineStr">
        <is>
          <t>Integration % = Sets on Hand ÷ Flagging Crews</t>
        </is>
      </c>
    </row>
    <row r="35">
      <c r="A35" s="8" t="inlineStr">
        <is>
          <t>STEP 6 — COMPANY / GRAND TOTALS</t>
        </is>
      </c>
    </row>
    <row r="36">
      <c r="A36" s="2" t="inlineStr">
        <is>
          <t>SUM office count columns → then recompute % from summed totals (do NOT average office percentages).</t>
        </is>
      </c>
    </row>
  </sheetData>
  <mergeCells count="32">
    <mergeCell ref="A25:C25"/>
    <mergeCell ref="A30:K30"/>
    <mergeCell ref="A36:K36"/>
    <mergeCell ref="A12:C12"/>
    <mergeCell ref="A21:L21"/>
    <mergeCell ref="A2:L2"/>
    <mergeCell ref="I24:K24"/>
    <mergeCell ref="A33:C33"/>
    <mergeCell ref="A23:C23"/>
    <mergeCell ref="A5:L5"/>
    <mergeCell ref="I23:K23"/>
    <mergeCell ref="I25:K25"/>
    <mergeCell ref="E12:K12"/>
    <mergeCell ref="A7:C8"/>
    <mergeCell ref="E25:G25"/>
    <mergeCell ref="A35:L35"/>
    <mergeCell ref="I7:K8"/>
    <mergeCell ref="A13:C13"/>
    <mergeCell ref="A10:L10"/>
    <mergeCell ref="A18:K18"/>
    <mergeCell ref="A28:L28"/>
    <mergeCell ref="A17:K17"/>
    <mergeCell ref="A24:C24"/>
    <mergeCell ref="E24:G24"/>
    <mergeCell ref="E13:K13"/>
    <mergeCell ref="A15:L15"/>
    <mergeCell ref="E33:G33"/>
    <mergeCell ref="E23:G23"/>
    <mergeCell ref="A1:L1"/>
    <mergeCell ref="A19:K19"/>
    <mergeCell ref="E7:G8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22" customWidth="1" min="4" max="4"/>
    <col width="28" customWidth="1" min="5" max="5"/>
    <col width="36" customWidth="1" min="6" max="6"/>
  </cols>
  <sheetData>
    <row r="1">
      <c r="A1" s="27" t="inlineStr">
        <is>
          <t>Worked example — Washington · Aug 17–23, 2026</t>
        </is>
      </c>
    </row>
    <row r="2">
      <c r="A2" s="2" t="inlineStr">
        <is>
          <t>Known answer used for validation: Utilization = 47%. Physical sets = 6.</t>
        </is>
      </c>
    </row>
    <row r="4">
      <c r="A4" s="8" t="inlineStr">
        <is>
          <t>INPUTS</t>
        </is>
      </c>
    </row>
    <row r="5">
      <c r="A5" s="28" t="inlineStr">
        <is>
          <t>Input</t>
        </is>
      </c>
      <c r="B5" s="28" t="inlineStr">
        <is>
          <t>Value</t>
        </is>
      </c>
      <c r="C5" s="28" t="inlineStr">
        <is>
          <t>Source</t>
        </is>
      </c>
    </row>
    <row r="6">
      <c r="A6" s="29" t="inlineStr">
        <is>
          <t>Office (Dispatching)</t>
        </is>
      </c>
      <c r="B6" s="29" t="inlineStr">
        <is>
          <t>Washington</t>
        </is>
      </c>
      <c r="C6" s="29" t="inlineStr">
        <is>
          <t>Roads filter</t>
        </is>
      </c>
    </row>
    <row r="7">
      <c r="A7" s="29" t="inlineStr">
        <is>
          <t>Date range</t>
        </is>
      </c>
      <c r="B7" s="29" t="inlineStr">
        <is>
          <t>8/17/2026 – 8/23/2026</t>
        </is>
      </c>
      <c r="C7" s="29" t="inlineStr">
        <is>
          <t>Roads Assignment Date</t>
        </is>
      </c>
    </row>
    <row r="8">
      <c r="A8" s="29" t="inlineStr">
        <is>
          <t>Roads job-day rows</t>
        </is>
      </c>
      <c r="B8" s="29" t="n">
        <v>71</v>
      </c>
      <c r="C8" s="29" t="inlineStr">
        <is>
          <t>COUNT rows</t>
        </is>
      </c>
    </row>
    <row r="9">
      <c r="A9" s="29" t="inlineStr">
        <is>
          <t>Physical sets S</t>
        </is>
      </c>
      <c r="B9" s="29" t="n">
        <v>6</v>
      </c>
      <c r="C9" s="29" t="inlineStr">
        <is>
          <t>User / inventory</t>
        </is>
      </c>
    </row>
    <row r="10">
      <c r="A10" s="29" t="inlineStr">
        <is>
          <t>Weekday working days W</t>
        </is>
      </c>
      <c r="B10" s="29" t="n">
        <v>5</v>
      </c>
      <c r="C10" s="29" t="inlineStr">
        <is>
          <t>Mon–Fri in range (17–21)</t>
        </is>
      </c>
    </row>
    <row r="11">
      <c r="A11" s="29" t="inlineStr">
        <is>
          <t>Stated Utilization (check)</t>
        </is>
      </c>
      <c r="B11" s="29" t="inlineStr">
        <is>
          <t>47%</t>
        </is>
      </c>
      <c r="C11" s="29" t="inlineStr">
        <is>
          <t>User — validation only</t>
        </is>
      </c>
    </row>
    <row r="13">
      <c r="A13" s="8" t="inlineStr">
        <is>
          <t>CALCULATIONS (in order)</t>
        </is>
      </c>
    </row>
    <row r="14">
      <c r="A14" s="28" t="inlineStr">
        <is>
          <t>Step</t>
        </is>
      </c>
      <c r="B14" s="28" t="inlineStr">
        <is>
          <t>Metric</t>
        </is>
      </c>
      <c r="C14" s="28" t="inlineStr">
        <is>
          <t>Formula</t>
        </is>
      </c>
      <c r="D14" s="28" t="inlineStr">
        <is>
          <t>Numbers</t>
        </is>
      </c>
      <c r="E14" s="28" t="inlineStr">
        <is>
          <t>Result</t>
        </is>
      </c>
    </row>
    <row r="15" ht="20" customHeight="1">
      <c r="A15" s="30" t="inlineStr">
        <is>
          <t>1</t>
        </is>
      </c>
      <c r="B15" s="30" t="inlineStr">
        <is>
          <t>Total Jobs</t>
        </is>
      </c>
      <c r="C15" s="31" t="inlineStr">
        <is>
          <t>COUNT(Roads rows)</t>
        </is>
      </c>
      <c r="D15" s="30" t="inlineStr">
        <is>
          <t>71 rows</t>
        </is>
      </c>
      <c r="E15" s="30" t="n">
        <v>71</v>
      </c>
    </row>
    <row r="16" ht="20" customHeight="1">
      <c r="A16" s="32" t="inlineStr">
        <is>
          <t>2</t>
        </is>
      </c>
      <c r="B16" s="32" t="inlineStr">
        <is>
          <t>GSF Jobs</t>
        </is>
      </c>
      <c r="C16" s="31" t="inlineStr">
        <is>
          <t>COUNT(GSF Job="Yes")</t>
        </is>
      </c>
      <c r="D16" s="32" t="inlineStr">
        <is>
          <t>14 Yes rows</t>
        </is>
      </c>
      <c r="E16" s="32" t="n">
        <v>14</v>
      </c>
    </row>
    <row r="17" ht="20" customHeight="1">
      <c r="A17" s="30" t="inlineStr">
        <is>
          <t>3</t>
        </is>
      </c>
      <c r="B17" s="30" t="inlineStr">
        <is>
          <t>In Field Sets</t>
        </is>
      </c>
      <c r="C17" s="31">
        <f> GSF Jobs (1 set / GSF job-day)</f>
        <v/>
      </c>
      <c r="D17" s="30" t="inlineStr">
        <is>
          <t>14</t>
        </is>
      </c>
      <c r="E17" s="30" t="n">
        <v>14</v>
      </c>
    </row>
    <row r="18" ht="20" customHeight="1">
      <c r="A18" s="32" t="inlineStr">
        <is>
          <t>4</t>
        </is>
      </c>
      <c r="B18" s="32" t="inlineStr">
        <is>
          <t>People Saved</t>
        </is>
      </c>
      <c r="C18" s="31">
        <f> In Field Sets</f>
        <v/>
      </c>
      <c r="D18" s="32" t="inlineStr">
        <is>
          <t>14</t>
        </is>
      </c>
      <c r="E18" s="32" t="n">
        <v>14</v>
      </c>
    </row>
    <row r="19" ht="20" customHeight="1">
      <c r="A19" s="30" t="inlineStr">
        <is>
          <t>5</t>
        </is>
      </c>
      <c r="B19" s="30" t="inlineStr">
        <is>
          <t>Sets on Hand</t>
        </is>
      </c>
      <c r="C19" s="31" t="inlineStr">
        <is>
          <t>S × W</t>
        </is>
      </c>
      <c r="D19" s="30" t="inlineStr">
        <is>
          <t>6 × 5</t>
        </is>
      </c>
      <c r="E19" s="30" t="n">
        <v>30</v>
      </c>
    </row>
    <row r="20" ht="20" customHeight="1">
      <c r="A20" s="33" t="inlineStr">
        <is>
          <t>6</t>
        </is>
      </c>
      <c r="B20" s="33" t="inlineStr">
        <is>
          <t>Utilization %</t>
        </is>
      </c>
      <c r="C20" s="33" t="inlineStr">
        <is>
          <t>In Field Sets ÷ Sets on Hand</t>
        </is>
      </c>
      <c r="D20" s="33" t="inlineStr">
        <is>
          <t>14 ÷ 30 = 46.67%</t>
        </is>
      </c>
      <c r="E20" s="33" t="inlineStr">
        <is>
          <t>47% ✓</t>
        </is>
      </c>
    </row>
    <row r="21" ht="20" customHeight="1">
      <c r="A21" s="30" t="inlineStr">
        <is>
          <t>7</t>
        </is>
      </c>
      <c r="B21" s="30" t="inlineStr">
        <is>
          <t>Mix %</t>
        </is>
      </c>
      <c r="C21" s="31" t="inlineStr">
        <is>
          <t>GSF Jobs ÷ Total Jobs</t>
        </is>
      </c>
      <c r="D21" s="30" t="inlineStr">
        <is>
          <t>14 ÷ 71</t>
        </is>
      </c>
      <c r="E21" s="30" t="inlineStr">
        <is>
          <t>19.7%</t>
        </is>
      </c>
    </row>
    <row r="24">
      <c r="A24" s="8" t="inlineStr">
        <is>
          <t>DAILY BRIDGE (why 14 and why ×5)</t>
        </is>
      </c>
    </row>
    <row r="25">
      <c r="A25" s="28" t="inlineStr">
        <is>
          <t>Date</t>
        </is>
      </c>
      <c r="B25" s="28" t="inlineStr">
        <is>
          <t>Dow</t>
        </is>
      </c>
      <c r="C25" s="28" t="inlineStr">
        <is>
          <t>Job-days</t>
        </is>
      </c>
      <c r="D25" s="28" t="inlineStr">
        <is>
          <t>GSF sets in field</t>
        </is>
      </c>
      <c r="E25" s="28" t="inlineStr">
        <is>
          <t>Adds to On Hand capacity?</t>
        </is>
      </c>
      <c r="F25" s="28" t="inlineStr">
        <is>
          <t>Note</t>
        </is>
      </c>
    </row>
    <row r="26">
      <c r="A26" s="34" t="inlineStr">
        <is>
          <t>2026-08-17</t>
        </is>
      </c>
      <c r="B26" s="34" t="inlineStr">
        <is>
          <t>Mon</t>
        </is>
      </c>
      <c r="C26" s="34" t="n">
        <v>12</v>
      </c>
      <c r="D26" s="34" t="n">
        <v>3</v>
      </c>
      <c r="E26" s="34" t="inlineStr">
        <is>
          <t>YES</t>
        </is>
      </c>
      <c r="F26" s="34" t="inlineStr"/>
    </row>
    <row r="27">
      <c r="A27" s="34" t="inlineStr">
        <is>
          <t>2026-08-18</t>
        </is>
      </c>
      <c r="B27" s="34" t="inlineStr">
        <is>
          <t>Tue</t>
        </is>
      </c>
      <c r="C27" s="34" t="n">
        <v>15</v>
      </c>
      <c r="D27" s="34" t="n">
        <v>3</v>
      </c>
      <c r="E27" s="34" t="inlineStr">
        <is>
          <t>YES</t>
        </is>
      </c>
      <c r="F27" s="34" t="inlineStr"/>
    </row>
    <row r="28">
      <c r="A28" s="34" t="inlineStr">
        <is>
          <t>2026-08-19</t>
        </is>
      </c>
      <c r="B28" s="34" t="inlineStr">
        <is>
          <t>Wed</t>
        </is>
      </c>
      <c r="C28" s="34" t="n">
        <v>13</v>
      </c>
      <c r="D28" s="34" t="n">
        <v>2</v>
      </c>
      <c r="E28" s="34" t="inlineStr">
        <is>
          <t>YES</t>
        </is>
      </c>
      <c r="F28" s="34" t="inlineStr"/>
    </row>
    <row r="29">
      <c r="A29" s="34" t="inlineStr">
        <is>
          <t>2026-08-20</t>
        </is>
      </c>
      <c r="B29" s="34" t="inlineStr">
        <is>
          <t>Thu</t>
        </is>
      </c>
      <c r="C29" s="34" t="n">
        <v>15</v>
      </c>
      <c r="D29" s="34" t="n">
        <v>2</v>
      </c>
      <c r="E29" s="34" t="inlineStr">
        <is>
          <t>YES</t>
        </is>
      </c>
      <c r="F29" s="34" t="inlineStr"/>
    </row>
    <row r="30">
      <c r="A30" s="34" t="inlineStr">
        <is>
          <t>2026-08-21</t>
        </is>
      </c>
      <c r="B30" s="34" t="inlineStr">
        <is>
          <t>Fri</t>
        </is>
      </c>
      <c r="C30" s="34" t="n">
        <v>12</v>
      </c>
      <c r="D30" s="34" t="n">
        <v>3</v>
      </c>
      <c r="E30" s="34" t="inlineStr">
        <is>
          <t>YES</t>
        </is>
      </c>
      <c r="F30" s="34" t="inlineStr"/>
    </row>
    <row r="31">
      <c r="A31" s="35" t="inlineStr">
        <is>
          <t>2026-08-22</t>
        </is>
      </c>
      <c r="B31" s="35" t="inlineStr">
        <is>
          <t>Sat</t>
        </is>
      </c>
      <c r="C31" s="35" t="n">
        <v>2</v>
      </c>
      <c r="D31" s="35" t="n">
        <v>1</v>
      </c>
      <c r="E31" s="35" t="inlineStr">
        <is>
          <t>NO</t>
        </is>
      </c>
      <c r="F31" s="35" t="inlineStr">
        <is>
          <t>GSF still counts in numerator</t>
        </is>
      </c>
    </row>
    <row r="32">
      <c r="A32" s="35" t="inlineStr">
        <is>
          <t>2026-08-23</t>
        </is>
      </c>
      <c r="B32" s="35" t="inlineStr">
        <is>
          <t>Sun</t>
        </is>
      </c>
      <c r="C32" s="35" t="n">
        <v>2</v>
      </c>
      <c r="D32" s="35" t="n">
        <v>0</v>
      </c>
      <c r="E32" s="35" t="inlineStr">
        <is>
          <t>NO</t>
        </is>
      </c>
      <c r="F32" s="35" t="inlineStr"/>
    </row>
    <row r="33">
      <c r="A33" s="36" t="inlineStr">
        <is>
          <t>TOTAL</t>
        </is>
      </c>
      <c r="B33" s="36" t="inlineStr"/>
      <c r="C33" s="36" t="n">
        <v>71</v>
      </c>
      <c r="D33" s="36" t="n">
        <v>14</v>
      </c>
      <c r="E33" s="36" t="inlineStr">
        <is>
          <t>W=5 weekdays</t>
        </is>
      </c>
      <c r="F33" s="36" t="inlineStr">
        <is>
          <t>On Hand=6×5=30</t>
        </is>
      </c>
    </row>
    <row r="36">
      <c r="A36" s="24" t="inlineStr">
        <is>
          <t>REJECTED ALTERNATIVES (same week)</t>
        </is>
      </c>
    </row>
    <row r="37">
      <c r="A37" s="28" t="inlineStr">
        <is>
          <t>Candidate formula</t>
        </is>
      </c>
      <c r="B37" s="28" t="inlineStr">
        <is>
          <t>Result</t>
        </is>
      </c>
      <c r="C37" s="28" t="inlineStr">
        <is>
          <t>vs 47%</t>
        </is>
      </c>
      <c r="D37" s="28" t="inlineStr">
        <is>
          <t>Why rejected</t>
        </is>
      </c>
    </row>
    <row r="38">
      <c r="A38" s="37" t="inlineStr">
        <is>
          <t>14 ÷ (6×7 calendar days)</t>
        </is>
      </c>
      <c r="B38" s="37" t="inlineStr">
        <is>
          <t>33.3%</t>
        </is>
      </c>
      <c r="C38" s="37" t="inlineStr">
        <is>
          <t>Miss</t>
        </is>
      </c>
      <c r="D38" s="37" t="inlineStr">
        <is>
          <t>Weekends are not capacity days</t>
        </is>
      </c>
    </row>
    <row r="39">
      <c r="A39" s="37" t="inlineStr">
        <is>
          <t>13 weekday-GSF only ÷ 30</t>
        </is>
      </c>
      <c r="B39" s="37" t="inlineStr">
        <is>
          <t>43.3%</t>
        </is>
      </c>
      <c r="C39" s="37" t="inlineStr">
        <is>
          <t>Miss</t>
        </is>
      </c>
      <c r="D39" s="37" t="inlineStr">
        <is>
          <t>Saturday GSF must stay in numerator</t>
        </is>
      </c>
    </row>
    <row r="40">
      <c r="A40" s="37" t="inlineStr">
        <is>
          <t>14 ÷ 6 (no × weekdays)</t>
        </is>
      </c>
      <c r="B40" s="37" t="inlineStr">
        <is>
          <t>233%</t>
        </is>
      </c>
      <c r="C40" s="37" t="inlineStr">
        <is>
          <t>Miss</t>
        </is>
      </c>
      <c r="D40" s="37" t="inlineStr">
        <is>
          <t>On Hand is set-days, not raw sets</t>
        </is>
      </c>
    </row>
    <row r="41">
      <c r="A41" s="37" t="inlineStr">
        <is>
          <t>28 AFD devices ÷ 30</t>
        </is>
      </c>
      <c r="B41" s="37" t="inlineStr">
        <is>
          <t>93.3%</t>
        </is>
      </c>
      <c r="C41" s="37" t="inlineStr">
        <is>
          <t>Miss</t>
        </is>
      </c>
      <c r="D41" s="37" t="inlineStr">
        <is>
          <t>Count sets, not each AFD unit</t>
        </is>
      </c>
    </row>
  </sheetData>
  <mergeCells count="6">
    <mergeCell ref="A24:F24"/>
    <mergeCell ref="A2:F2"/>
    <mergeCell ref="A1:F1"/>
    <mergeCell ref="A13:E13"/>
    <mergeCell ref="A4:C4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55" customWidth="1" min="3" max="3"/>
    <col width="40" customWidth="1" min="4" max="4"/>
  </cols>
  <sheetData>
    <row r="1">
      <c r="A1" s="27" t="inlineStr">
        <is>
          <t>Formula card — copyable algorithms</t>
        </is>
      </c>
    </row>
    <row r="3">
      <c r="A3" s="28" t="inlineStr">
        <is>
          <t>Status</t>
        </is>
      </c>
      <c r="B3" s="28" t="inlineStr">
        <is>
          <t>GU Metric</t>
        </is>
      </c>
      <c r="C3" s="28" t="inlineStr">
        <is>
          <t>Algorithm</t>
        </is>
      </c>
      <c r="D3" s="28" t="inlineStr">
        <is>
          <t>Notes</t>
        </is>
      </c>
    </row>
    <row r="4" ht="28" customHeight="1">
      <c r="A4" s="33" t="inlineStr">
        <is>
          <t>LOCKED</t>
        </is>
      </c>
      <c r="B4" s="32" t="inlineStr">
        <is>
          <t>Total Jobs</t>
        </is>
      </c>
      <c r="C4" s="31" t="inlineStr">
        <is>
          <t>COUNT(Roads rows | office, date range)</t>
        </is>
      </c>
      <c r="D4" s="32" t="inlineStr">
        <is>
          <t>Job-days, not unique Job Numbers</t>
        </is>
      </c>
    </row>
    <row r="5" ht="28" customHeight="1">
      <c r="A5" s="33" t="inlineStr">
        <is>
          <t>LOCKED</t>
        </is>
      </c>
      <c r="B5" s="30" t="inlineStr">
        <is>
          <t>GSF Jobs</t>
        </is>
      </c>
      <c r="C5" s="31" t="inlineStr">
        <is>
          <t>COUNT(GSF Job = "Yes")</t>
        </is>
      </c>
      <c r="D5" s="30" t="inlineStr">
        <is>
          <t>Same filter</t>
        </is>
      </c>
    </row>
    <row r="6" ht="28" customHeight="1">
      <c r="A6" s="33" t="inlineStr">
        <is>
          <t>LOCKED</t>
        </is>
      </c>
      <c r="B6" s="32" t="inlineStr">
        <is>
          <t>GSF In Field Sets</t>
        </is>
      </c>
      <c r="C6" s="31" t="inlineStr">
        <is>
          <t>COUNT(GSF Job = "Yes")</t>
        </is>
      </c>
      <c r="D6" s="32" t="inlineStr">
        <is>
          <t>1 set per GSF job-day; ignore AFD unit count</t>
        </is>
      </c>
    </row>
    <row r="7" ht="28" customHeight="1">
      <c r="A7" s="33" t="inlineStr">
        <is>
          <t>LOCKED</t>
        </is>
      </c>
      <c r="B7" s="30" t="inlineStr">
        <is>
          <t>People Saved</t>
        </is>
      </c>
      <c r="C7" s="31">
        <f> GSF In Field Sets</f>
        <v/>
      </c>
      <c r="D7" s="30" t="inlineStr">
        <is>
          <t>Identity on GU</t>
        </is>
      </c>
    </row>
    <row r="8" ht="28" customHeight="1">
      <c r="A8" s="33" t="inlineStr">
        <is>
          <t>LOCKED</t>
        </is>
      </c>
      <c r="B8" s="32" t="inlineStr">
        <is>
          <t>Sets on Hand (Working Days)</t>
        </is>
      </c>
      <c r="C8" s="31" t="inlineStr">
        <is>
          <t>physical_sets × COUNT(Mon–Fri in period)</t>
        </is>
      </c>
      <c r="D8" s="32" t="inlineStr">
        <is>
          <t>Inventory × weekdays</t>
        </is>
      </c>
    </row>
    <row r="9" ht="28" customHeight="1">
      <c r="A9" s="33" t="inlineStr">
        <is>
          <t>LOCKED</t>
        </is>
      </c>
      <c r="B9" s="30" t="inlineStr">
        <is>
          <t>GSF Utilization %</t>
        </is>
      </c>
      <c r="C9" s="31" t="inlineStr">
        <is>
          <t>In Field Sets ÷ Sets on Hand</t>
        </is>
      </c>
      <c r="D9" s="30" t="inlineStr">
        <is>
          <t>Validated Washington 14/30→47%</t>
        </is>
      </c>
    </row>
    <row r="10" ht="28" customHeight="1">
      <c r="A10" s="33" t="inlineStr">
        <is>
          <t>LOCKED</t>
        </is>
      </c>
      <c r="B10" s="32" t="inlineStr">
        <is>
          <t>GSF infield set/total jobs %</t>
        </is>
      </c>
      <c r="C10" s="31" t="inlineStr">
        <is>
          <t>GSF Jobs ÷ Total Jobs</t>
        </is>
      </c>
      <c r="D10" s="32" t="inlineStr"/>
    </row>
    <row r="11" ht="28" customHeight="1">
      <c r="A11" s="38" t="inlineStr">
        <is>
          <t>PROVISIONAL</t>
        </is>
      </c>
      <c r="B11" s="30" t="inlineStr">
        <is>
          <t>Flagging Crews</t>
        </is>
      </c>
      <c r="C11" s="31" t="inlineStr">
        <is>
          <t>SUM(Assignment Count) [job-type filter?] [/2?]</t>
        </is>
      </c>
      <c r="D11" s="30" t="inlineStr">
        <is>
          <t>Needs more offices to lock</t>
        </is>
      </c>
    </row>
    <row r="12" ht="28" customHeight="1">
      <c r="A12" s="38" t="inlineStr">
        <is>
          <t>PROVISIONAL</t>
        </is>
      </c>
      <c r="B12" s="32" t="inlineStr">
        <is>
          <t>Total Crews</t>
        </is>
      </c>
      <c r="C12" s="31" t="inlineStr">
        <is>
          <t>SUM(Assignment Count) [all jobs]</t>
        </is>
      </c>
      <c r="D12" s="32" t="inlineStr">
        <is>
          <t>Same unit basis as Flagging</t>
        </is>
      </c>
    </row>
    <row r="13" ht="28" customHeight="1">
      <c r="A13" s="38" t="inlineStr">
        <is>
          <t>PROVISIONAL</t>
        </is>
      </c>
      <c r="B13" s="30" t="inlineStr">
        <is>
          <t>GSF Fulfillment Crews %</t>
        </is>
      </c>
      <c r="C13" s="31" t="inlineStr">
        <is>
          <t>In Field Sets ÷ Flagging Crews</t>
        </is>
      </c>
      <c r="D13" s="30" t="inlineStr"/>
    </row>
    <row r="14" ht="28" customHeight="1">
      <c r="A14" s="38" t="inlineStr">
        <is>
          <t>PROVISIONAL</t>
        </is>
      </c>
      <c r="B14" s="32" t="inlineStr">
        <is>
          <t>GSF Integration (Crews)</t>
        </is>
      </c>
      <c r="C14" s="31" t="inlineStr">
        <is>
          <t>Sets on Hand ÷ Flagging Crews</t>
        </is>
      </c>
      <c r="D14" s="32" t="inlineStr"/>
    </row>
    <row r="15" ht="28" customHeight="1">
      <c r="A15" s="33" t="inlineStr">
        <is>
          <t>LOCKED</t>
        </is>
      </c>
      <c r="B15" s="30" t="inlineStr">
        <is>
          <t>Company / Grand %</t>
        </is>
      </c>
      <c r="C15" s="31" t="inlineStr">
        <is>
          <t>Recompute from SUM of counts</t>
        </is>
      </c>
      <c r="D15" s="30" t="inlineStr">
        <is>
          <t>Do not average office 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</cols>
  <sheetData>
    <row r="1">
      <c r="A1" s="27" t="inlineStr">
        <is>
          <t>Discovery method (meta-roadmap)</t>
        </is>
      </c>
    </row>
    <row r="3">
      <c r="A3" s="39" t="inlineStr">
        <is>
          <t>#</t>
        </is>
      </c>
      <c r="B3" s="39" t="inlineStr">
        <is>
          <t>Method step</t>
        </is>
      </c>
      <c r="C3" s="39" t="inlineStr">
        <is>
          <t>What it produced</t>
        </is>
      </c>
    </row>
    <row r="4" ht="48" customHeight="1">
      <c r="A4" s="40" t="inlineStr">
        <is>
          <t>1</t>
        </is>
      </c>
      <c r="B4" s="29" t="inlineStr">
        <is>
          <t>Read GU PDF column math &amp; footer checks
(e.g. 11469÷23265→49%)</t>
        </is>
      </c>
      <c r="C4" s="41" t="inlineStr">
        <is>
          <t>Learned which GU columns divide which</t>
        </is>
      </c>
    </row>
    <row r="5" ht="48" customHeight="1">
      <c r="A5" s="40" t="inlineStr">
        <is>
          <t>2</t>
        </is>
      </c>
      <c r="B5" s="29" t="inlineStr">
        <is>
          <t>Crosswalk REC ↔ OX ↔ MD ↔ GU
in native column order</t>
        </is>
      </c>
      <c r="C5" s="41" t="inlineStr">
        <is>
          <t>Knew which Roads fields feed which GU inputs</t>
        </is>
      </c>
    </row>
    <row r="6" ht="48" customHeight="1">
      <c r="A6" s="40" t="inlineStr">
        <is>
          <t>3</t>
        </is>
      </c>
      <c r="B6" s="29" t="inlineStr">
        <is>
          <t>Separate time grain
(single-day sources vs multi-day GU)</t>
        </is>
      </c>
      <c r="C6" s="41" t="inlineStr">
        <is>
          <t>Stopped expecting one day to equal a GU row</t>
        </is>
      </c>
    </row>
    <row r="7" ht="48" customHeight="1">
      <c r="A7" s="40" t="inlineStr">
        <is>
          <t>4</t>
        </is>
      </c>
      <c r="B7" s="29" t="inlineStr">
        <is>
          <t>Propose counter candidates
(devices vs job-days; ×5 vs ×7; ÷2 crews)</t>
        </is>
      </c>
      <c r="C7" s="41" t="inlineStr">
        <is>
          <t>Explicit competing algorithms to test</t>
        </is>
      </c>
    </row>
    <row r="8" ht="48" customHeight="1">
      <c r="A8" s="40" t="inlineStr">
        <is>
          <t>5</t>
        </is>
      </c>
      <c r="B8" s="29" t="inlineStr">
        <is>
          <t>Validate with known office result
+ known inventory (Washington 47%, 6 sets)</t>
        </is>
      </c>
      <c r="C8" s="41" t="inlineStr">
        <is>
          <t>Kept only 14÷(6×5)=46.67%→47%</t>
        </is>
      </c>
    </row>
    <row r="9" ht="48" customHeight="1">
      <c r="A9" s="40" t="inlineStr">
        <is>
          <t>6</t>
        </is>
      </c>
      <c r="B9" s="29" t="inlineStr">
        <is>
          <t>Reject near-misses
(43%, 33%, 93%, 233%)</t>
        </is>
      </c>
      <c r="C9" s="41" t="inlineStr">
        <is>
          <t>Locked set-vs-device and weekday rules</t>
        </is>
      </c>
    </row>
    <row r="11">
      <c r="A11" s="42" t="inlineStr">
        <is>
          <t>Generic prediction recipe (any office)</t>
        </is>
      </c>
    </row>
    <row r="12">
      <c r="A12" s="43" t="inlineStr">
        <is>
          <t>1. Filter Roads to Dispatching = office and Assignment Date in range</t>
        </is>
      </c>
    </row>
    <row r="13">
      <c r="A13" s="44" t="inlineStr">
        <is>
          <t>2. Total Jobs = row count</t>
        </is>
      </c>
    </row>
    <row r="14">
      <c r="A14" s="43" t="inlineStr">
        <is>
          <t>3. GSF Jobs = In Field Sets = People Saved = count(GSF Job="Yes")</t>
        </is>
      </c>
    </row>
    <row r="15">
      <c r="A15" s="44" t="inlineStr">
        <is>
          <t>4. Obtain physical set count S from inventory</t>
        </is>
      </c>
    </row>
    <row r="16">
      <c r="A16" s="43" t="inlineStr">
        <is>
          <t>5. W = number of Mon–Fri days in the inclusive period</t>
        </is>
      </c>
    </row>
    <row r="17">
      <c r="A17" s="44" t="inlineStr">
        <is>
          <t>6. Sets on Hand = S × W</t>
        </is>
      </c>
    </row>
    <row r="18">
      <c r="A18" s="43" t="inlineStr">
        <is>
          <t>7. Utilization % = In Field Sets ÷ Sets on Hand (round as GU does)</t>
        </is>
      </c>
    </row>
    <row r="19">
      <c r="A19" s="44" t="inlineStr">
        <is>
          <t>8. Mix % = GSF Jobs ÷ Total Jobs</t>
        </is>
      </c>
    </row>
    <row r="20">
      <c r="A20" s="43" t="inlineStr">
        <is>
          <t>9. Optionally apply crew rules when confirmed for that office</t>
        </is>
      </c>
    </row>
  </sheetData>
  <mergeCells count="11">
    <mergeCell ref="A13:C13"/>
    <mergeCell ref="A11:C11"/>
    <mergeCell ref="A19:C19"/>
    <mergeCell ref="A1:C1"/>
    <mergeCell ref="A14:C14"/>
    <mergeCell ref="A17:C17"/>
    <mergeCell ref="A18:C18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0" customWidth="1" min="3" max="3"/>
  </cols>
  <sheetData>
    <row r="1">
      <c r="A1" s="27" t="inlineStr">
        <is>
          <t>One-page summary</t>
        </is>
      </c>
    </row>
    <row r="3" ht="48" customHeight="1">
      <c r="A3" s="45" t="inlineStr">
        <is>
          <t>GU Utilization is deployed GSF set-days divided by owned-sets × weekdays.
Roads supplies the numerator. Inventory × calendar supplies the denominator.</t>
        </is>
      </c>
    </row>
    <row r="5">
      <c r="A5" s="46" t="inlineStr">
        <is>
          <t>Numerator (from Roads)</t>
        </is>
      </c>
      <c r="B5" s="46" t="inlineStr">
        <is>
          <t>Denominator (from inventory + calendar)</t>
        </is>
      </c>
      <c r="C5" s="46" t="inlineStr">
        <is>
          <t>Output</t>
        </is>
      </c>
    </row>
    <row r="6" ht="70" customHeight="1">
      <c r="A6" s="9" t="inlineStr">
        <is>
          <t>In Field Sets
= COUNT(GSF Job="Yes")
job-days in office/period</t>
        </is>
      </c>
      <c r="B6" s="9" t="inlineStr">
        <is>
          <t>Sets on Hand
= physical sets × weekdays
(Mon–Fri in period)</t>
        </is>
      </c>
      <c r="C6" s="17" t="inlineStr">
        <is>
          <t>Utilization %
= A ÷ B</t>
        </is>
      </c>
    </row>
    <row r="8">
      <c r="A8" s="3" t="inlineStr">
        <is>
          <t>Also from same counts:</t>
        </is>
      </c>
    </row>
    <row r="9">
      <c r="A9" s="47" t="inlineStr">
        <is>
          <t>Mix % = GSF Jobs ÷ Total Jobs</t>
        </is>
      </c>
    </row>
    <row r="10">
      <c r="A10" s="47" t="inlineStr">
        <is>
          <t>People Saved = In Field Sets</t>
        </is>
      </c>
    </row>
    <row r="12">
      <c r="A12" s="3" t="inlineStr">
        <is>
          <t>Washington proof:</t>
        </is>
      </c>
    </row>
    <row r="13" ht="28" customHeight="1">
      <c r="A13" s="48" t="inlineStr">
        <is>
          <t>14 ÷ (6 × 5) = 14 ÷ 30 = 46.67% → 47%</t>
        </is>
      </c>
      <c r="B13" s="49" t="n"/>
      <c r="C13" s="50" t="n"/>
    </row>
  </sheetData>
  <mergeCells count="2">
    <mergeCell ref="A13:C13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2026-10-07T16:22:51Z</dcterms:created>
  <dcterms:modified xmlns:dcterms="http://purl.org/dc/terms/" xmlns:xsi="http://www.w3.org/2001/XMLSchema-instance" xsi:type="dcterms:W3CDTF">2026-10-07T16:22:51Z</dcterms:modified>
</cp:coreProperties>
</file>