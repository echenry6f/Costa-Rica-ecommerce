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umn Crosswalk" sheetId="1" state="visible" r:id="rId1"/>
    <sheet xmlns:r="http://schemas.openxmlformats.org/officeDocument/2006/relationships" name="Legend &amp; Notes" sheetId="2" state="visible" r:id="rId2"/>
    <sheet xmlns:r="http://schemas.openxmlformats.org/officeDocument/2006/relationships" name="Correspondence Index" sheetId="3" state="visible" r:id="rId3"/>
    <sheet xmlns:r="http://schemas.openxmlformats.org/officeDocument/2006/relationships" name="Number Formul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5A6577"/>
      <sz val="9"/>
    </font>
    <font>
      <name val="Calibri"/>
      <b val="1"/>
      <color rgb="00FFFFFF"/>
      <sz val="10"/>
    </font>
    <font>
      <name val="Calibri"/>
      <b val="1"/>
      <color rgb="000D6E6E"/>
      <sz val="10"/>
    </font>
    <font>
      <name val="Calibri"/>
      <b val="1"/>
      <color rgb="00FFFFFF"/>
      <sz val="9"/>
    </font>
    <font>
      <name val="Calibri"/>
      <b val="1"/>
      <color rgb="001A2332"/>
      <sz val="11"/>
    </font>
    <font>
      <name val="Calibri"/>
      <b val="1"/>
      <sz val="14"/>
    </font>
    <font>
      <name val="Calibri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F6F0"/>
      </patternFill>
    </fill>
    <fill>
      <patternFill patternType="solid">
        <fgColor rgb="00FFF8E8"/>
      </patternFill>
    </fill>
    <fill>
      <patternFill patternType="solid">
        <fgColor rgb="00E8F0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2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6" fillId="4" borderId="1" pivotButton="0" quotePrefix="0" xfId="0"/>
    <xf numFmtId="0" fontId="2" fillId="4" borderId="1" pivotButton="0" quotePrefix="0" xfId="0"/>
    <xf numFmtId="0" fontId="6" fillId="5" borderId="1" pivotButton="0" quotePrefix="0" xfId="0"/>
    <xf numFmtId="0" fontId="2" fillId="5" borderId="1" pivotButton="0" quotePrefix="0" xfId="0"/>
    <xf numFmtId="0" fontId="6" fillId="3" borderId="1" pivotButton="0" quotePrefix="0" xfId="0"/>
    <xf numFmtId="0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</cols>
  <sheetData>
    <row r="1" ht="22" customHeight="1">
      <c r="A1" s="1" t="inlineStr">
        <is>
          <t>Roads Export ↔ Onyx Report ↔ Master Dashboard (native column order)</t>
        </is>
      </c>
    </row>
    <row r="2" ht="60" customHeight="1">
      <c r="A2" s="2" t="inlineStr">
        <is>
          <t>Columns stay in each file’s listed order (REC / OX / MD numbering). Green = Roads Export (REC) · Cream = Onyx (OX) · Blue = Master Dashboard (MD). Italic notes include calculation formulas where numbers are derived, and (Corresponds with …) when a match is not directly above/below. Bold = heading · Italic = formula / notes.</t>
        </is>
      </c>
    </row>
    <row r="3">
      <c r="A3" s="3" t="inlineStr">
        <is>
          <t>Index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</row>
    <row r="4" ht="48" customHeight="1">
      <c r="A4" s="5" t="inlineStr">
        <is>
          <t>Roads Export (REC)</t>
        </is>
      </c>
      <c r="B4" s="6" t="inlineStr">
        <is>
          <t>Customer</t>
        </is>
      </c>
      <c r="C4" s="6" t="inlineStr">
        <is>
          <t>Subcontractor</t>
        </is>
      </c>
      <c r="D4" s="6" t="inlineStr">
        <is>
          <t>Requested Resources</t>
        </is>
      </c>
      <c r="E4" s="6" t="inlineStr">
        <is>
          <t>Required Resources</t>
        </is>
      </c>
      <c r="F4" s="6" t="inlineStr">
        <is>
          <t>Unfilled Count</t>
        </is>
      </c>
      <c r="G4" s="6" t="inlineStr">
        <is>
          <t>Crew Lead</t>
        </is>
      </c>
      <c r="H4" s="6" t="inlineStr">
        <is>
          <t>Assigned Employees</t>
        </is>
      </c>
      <c r="I4" s="6" t="inlineStr">
        <is>
          <t>Assigned Equipment</t>
        </is>
      </c>
      <c r="J4" s="6" t="inlineStr">
        <is>
          <t>GSF AFAD</t>
        </is>
      </c>
      <c r="K4" s="6" t="inlineStr">
        <is>
          <t>Foreman</t>
        </is>
      </c>
      <c r="L4" s="6" t="inlineStr">
        <is>
          <t>Assignment Date</t>
        </is>
      </c>
      <c r="M4" s="6" t="inlineStr">
        <is>
          <t>Start Time</t>
        </is>
      </c>
      <c r="N4" s="6" t="inlineStr">
        <is>
          <t>Dispatching</t>
        </is>
      </c>
      <c r="O4" s="6" t="inlineStr">
        <is>
          <t>Job Number</t>
        </is>
      </c>
      <c r="P4" s="6" t="inlineStr">
        <is>
          <t>Job Location Name</t>
        </is>
      </c>
      <c r="Q4" s="6" t="inlineStr">
        <is>
          <t>Job Location Address</t>
        </is>
      </c>
      <c r="R4" s="6" t="inlineStr">
        <is>
          <t>Job Type</t>
        </is>
      </c>
      <c r="S4" s="6" t="inlineStr">
        <is>
          <t>Assignment Count</t>
        </is>
      </c>
      <c r="T4" s="6" t="inlineStr">
        <is>
          <t>Completed Timesheets</t>
        </is>
      </c>
      <c r="U4" s="6" t="inlineStr">
        <is>
          <t>Total Timesheets</t>
        </is>
      </c>
      <c r="V4" s="6" t="inlineStr">
        <is>
          <t>Timesheets</t>
        </is>
      </c>
      <c r="W4" s="6" t="inlineStr">
        <is>
          <t>GSF Job</t>
        </is>
      </c>
      <c r="X4" s="6" t="inlineStr">
        <is>
          <t>GSF Operator</t>
        </is>
      </c>
      <c r="Y4" s="6" t="inlineStr">
        <is>
          <t>Second GSF Operator</t>
        </is>
      </c>
      <c r="Z4" s="6" t="inlineStr">
        <is>
          <t>Cancellation Count</t>
        </is>
      </c>
      <c r="AA4" s="6" t="inlineStr">
        <is>
          <t>Cancellation Information</t>
        </is>
      </c>
      <c r="AB4" s="6" t="inlineStr">
        <is>
          <t>WO Number</t>
        </is>
      </c>
      <c r="AC4" s="6" t="inlineStr">
        <is>
          <t>Project Notes</t>
        </is>
      </c>
    </row>
    <row r="5" ht="48" customHeight="1">
      <c r="A5" s="5" t="inlineStr">
        <is>
          <t>(REC formula / notes)</t>
        </is>
      </c>
      <c r="B5" s="7" t="n"/>
      <c r="C5" s="7" t="n"/>
      <c r="D5" s="7" t="inlineStr">
        <is>
          <t>Entered / imported requested headcount (often 0 on non-GSF rows in sample)</t>
        </is>
      </c>
      <c r="E5" s="7" t="inlineStr">
        <is>
          <t>Entered / imported required headcount for the job</t>
        </is>
      </c>
      <c r="F5" s="7" t="inlineStr">
        <is>
          <t>Unfilled Count = max(0, Required Resources − Assignment Count) · (Corresponds with 12 in MD)</t>
        </is>
      </c>
      <c r="G5" s="7" t="inlineStr">
        <is>
          <t>(Corresponds with 2 in MD)</t>
        </is>
      </c>
      <c r="H5" s="7" t="n"/>
      <c r="I5" s="7" t="n"/>
      <c r="J5" s="7" t="inlineStr">
        <is>
          <t>List of assigned GSF AFAD devices; OX AFAD Sent = COUNT of those devices · (Corresponds with 12 in OX)</t>
        </is>
      </c>
      <c r="K5" s="7" t="inlineStr">
        <is>
          <t>(Corresponds with 3 in MD)</t>
        </is>
      </c>
      <c r="L5" s="7" t="inlineStr">
        <is>
          <t>(Corresponds with 8 in MD)</t>
        </is>
      </c>
      <c r="M5" s="7" t="inlineStr">
        <is>
          <t>(Corresponds with 8 in OX and 9 in MD)</t>
        </is>
      </c>
      <c r="N5" s="7" t="inlineStr">
        <is>
          <t>(Corresponds with 7 in OX and 4 in MD)</t>
        </is>
      </c>
      <c r="O5" s="7" t="inlineStr">
        <is>
          <t>(Corresponds with 4 in OX and 5 in MD)</t>
        </is>
      </c>
      <c r="P5" s="7" t="inlineStr">
        <is>
          <t>(Corresponds with 6 in OX and 6 in MD)</t>
        </is>
      </c>
      <c r="Q5" s="7" t="n"/>
      <c r="R5" s="7" t="inlineStr">
        <is>
          <t>(Corresponds with 3 in OX and 13 in MD)</t>
        </is>
      </c>
      <c r="S5" s="7" t="inlineStr">
        <is>
          <t>Assignment Count = COUNT of confirmed people in Assigned Employees · (Corresponds with 10 in OX and 11 in MD)</t>
        </is>
      </c>
      <c r="T5" s="7" t="inlineStr">
        <is>
          <t>Completed Timesheets = COUNT of timesheets with completed/approved status</t>
        </is>
      </c>
      <c r="U5" s="7" t="inlineStr">
        <is>
          <t>Total Timesheets = COUNT of all timesheets on the job</t>
        </is>
      </c>
      <c r="V5" s="7" t="inlineStr">
        <is>
          <t>(Corresponds with 13 in OX)</t>
        </is>
      </c>
      <c r="W5" s="7" t="inlineStr">
        <is>
          <t>(Corresponds with 5 in OX and 14 in MD)</t>
        </is>
      </c>
      <c r="X5" s="7" t="n"/>
      <c r="Y5" s="7" t="n"/>
      <c r="Z5" s="7" t="inlineStr">
        <is>
          <t>Cancellation Count = COUNT of cancellation records in Cancellation Information</t>
        </is>
      </c>
      <c r="AA5" s="7" t="n"/>
      <c r="AB5" s="7" t="inlineStr">
        <is>
          <t>(Corresponds with 7 in MD)</t>
        </is>
      </c>
      <c r="AC5" s="7" t="n"/>
    </row>
    <row r="6" ht="48" customHeight="1">
      <c r="A6" s="8" t="inlineStr">
        <is>
          <t>Onyx (OX)</t>
        </is>
      </c>
      <c r="B6" s="9" t="inlineStr">
        <is>
          <t>Client</t>
        </is>
      </c>
      <c r="C6" s="9" t="inlineStr">
        <is>
          <t>Subcontractor</t>
        </is>
      </c>
      <c r="D6" s="9" t="inlineStr">
        <is>
          <t>Job Type</t>
        </is>
      </c>
      <c r="E6" s="9" t="inlineStr">
        <is>
          <t>Ticket #</t>
        </is>
      </c>
      <c r="F6" s="9" t="inlineStr">
        <is>
          <t>Ticket Type</t>
        </is>
      </c>
      <c r="G6" s="9" t="inlineStr">
        <is>
          <t>Location</t>
        </is>
      </c>
      <c r="H6" s="9" t="inlineStr">
        <is>
          <t>Branch</t>
        </is>
      </c>
      <c r="I6" s="9" t="inlineStr">
        <is>
          <t>Work Hours</t>
        </is>
      </c>
      <c r="J6" s="9" t="inlineStr">
        <is>
          <t>Total Staff Requested</t>
        </is>
      </c>
      <c r="K6" s="9" t="inlineStr">
        <is>
          <t>Total Staff Sent</t>
        </is>
      </c>
      <c r="L6" s="9" t="inlineStr">
        <is>
          <t>Total Saved</t>
        </is>
      </c>
      <c r="M6" s="9" t="inlineStr">
        <is>
          <t>AFAD Sent</t>
        </is>
      </c>
      <c r="N6" s="9" t="inlineStr">
        <is>
          <t>Notes</t>
        </is>
      </c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</row>
    <row r="7" ht="48" customHeight="1">
      <c r="A7" s="8" t="inlineStr">
        <is>
          <t>(OX formula / notes)</t>
        </is>
      </c>
      <c r="B7" s="10" t="n"/>
      <c r="C7" s="10" t="n"/>
      <c r="D7" s="10" t="inlineStr">
        <is>
          <t>(Corresponds with 17 in REC and 13 in MD)</t>
        </is>
      </c>
      <c r="E7" s="10" t="inlineStr">
        <is>
          <t>(Corresponds with 14 in REC and 5 in MD)</t>
        </is>
      </c>
      <c r="F7" s="10" t="inlineStr">
        <is>
          <t>(Corresponds with 22 in REC and 14 in MD)</t>
        </is>
      </c>
      <c r="G7" s="10" t="inlineStr">
        <is>
          <t>(Corresponds with 15 in REC)</t>
        </is>
      </c>
      <c r="H7" s="10" t="inlineStr">
        <is>
          <t>(Corresponds with 13 in REC and 4 in MD)</t>
        </is>
      </c>
      <c r="I7" s="10" t="inlineStr">
        <is>
          <t>(Corresponds with 12 in REC and 9 in MD)</t>
        </is>
      </c>
      <c r="J7" s="10" t="inlineStr">
        <is>
          <t>Entered / imported staff requested (or pulled from dispatch) · (Corresponds with 10 in MD)</t>
        </is>
      </c>
      <c r="K7" s="10" t="inlineStr">
        <is>
          <t>Entered / imported staff sent (or pulled from dispatch) · (Corresponds with 18 in REC and 11 in MD)</t>
        </is>
      </c>
      <c r="L7" s="10" t="inlineStr">
        <is>
          <t>Total Saved = max(0, Total Staff Requested − Total Staff Sent)</t>
        </is>
      </c>
      <c r="M7" s="10" t="inlineStr">
        <is>
          <t>AFAD Sent = COUNT of GSF AFAD devices on REC GSF AFAD for that job · (Corresponds with 9 in REC)</t>
        </is>
      </c>
      <c r="N7" s="10" t="inlineStr">
        <is>
          <t>(Corresponds with 21 in REC)</t>
        </is>
      </c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</row>
    <row r="8" ht="48" customHeight="1">
      <c r="A8" s="11" t="inlineStr">
        <is>
          <t>Master Dashboard (MD)</t>
        </is>
      </c>
      <c r="B8" s="12" t="inlineStr">
        <is>
          <t>Customer</t>
        </is>
      </c>
      <c r="C8" s="12" t="inlineStr">
        <is>
          <t>Crew Lead</t>
        </is>
      </c>
      <c r="D8" s="12" t="inlineStr">
        <is>
          <t>Customer Foreman</t>
        </is>
      </c>
      <c r="E8" s="12" t="inlineStr">
        <is>
          <t>Dispatching</t>
        </is>
      </c>
      <c r="F8" s="12" t="inlineStr">
        <is>
          <t>Job Number</t>
        </is>
      </c>
      <c r="G8" s="12" t="inlineStr">
        <is>
          <t>Job Location</t>
        </is>
      </c>
      <c r="H8" s="12" t="inlineStr">
        <is>
          <t>WO Number</t>
        </is>
      </c>
      <c r="I8" s="12" t="inlineStr">
        <is>
          <t>Date</t>
        </is>
      </c>
      <c r="J8" s="12" t="inlineStr">
        <is>
          <t>Start</t>
        </is>
      </c>
      <c r="K8" s="12" t="inlineStr">
        <is>
          <t>Required</t>
        </is>
      </c>
      <c r="L8" s="12" t="inlineStr">
        <is>
          <t>Assignments</t>
        </is>
      </c>
      <c r="M8" s="12" t="inlineStr">
        <is>
          <t>Unfilled</t>
        </is>
      </c>
      <c r="N8" s="12" t="inlineStr">
        <is>
          <t>Job Type</t>
        </is>
      </c>
      <c r="O8" s="12" t="inlineStr">
        <is>
          <t>GSF</t>
        </is>
      </c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</row>
    <row r="9" ht="48" customHeight="1">
      <c r="A9" s="11" t="inlineStr">
        <is>
          <t>(MD formula / notes)</t>
        </is>
      </c>
      <c r="B9" s="13" t="n"/>
      <c r="C9" s="13" t="inlineStr">
        <is>
          <t>(Corresponds with 6 in REC)</t>
        </is>
      </c>
      <c r="D9" s="13" t="inlineStr">
        <is>
          <t>(Corresponds with 10 in REC)</t>
        </is>
      </c>
      <c r="E9" s="13" t="inlineStr">
        <is>
          <t>(Corresponds with 13 in REC and 7 in OX)</t>
        </is>
      </c>
      <c r="F9" s="13" t="inlineStr">
        <is>
          <t>(Corresponds with 14 in REC and 4 in OX)</t>
        </is>
      </c>
      <c r="G9" s="13" t="inlineStr">
        <is>
          <t>(Corresponds with 15 in REC)</t>
        </is>
      </c>
      <c r="H9" s="13" t="inlineStr">
        <is>
          <t>(Corresponds with 27 in REC)</t>
        </is>
      </c>
      <c r="I9" s="13" t="inlineStr">
        <is>
          <t>(Corresponds with 11 in REC)</t>
        </is>
      </c>
      <c r="J9" s="13" t="inlineStr">
        <is>
          <t>(Corresponds with 12 in REC and 8 in OX)</t>
        </is>
      </c>
      <c r="K9" s="13" t="inlineStr">
        <is>
          <t>Entered / imported required headcount for the job · (Corresponds with 9 in OX)</t>
        </is>
      </c>
      <c r="L9" s="13" t="inlineStr">
        <is>
          <t>Entered / imported assigned headcount (filled slots) · (Corresponds with 18 in REC and 10 in OX)</t>
        </is>
      </c>
      <c r="M9" s="13" t="inlineStr">
        <is>
          <t>Unfilled = Required − Assignments · (Corresponds with 5 in REC)</t>
        </is>
      </c>
      <c r="N9" s="13" t="inlineStr">
        <is>
          <t>(Corresponds with 17 in REC and 3 in OX)</t>
        </is>
      </c>
      <c r="O9" s="13" t="inlineStr">
        <is>
          <t>(Corresponds with 22 in REC and 5 in OX)</t>
        </is>
      </c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</row>
  </sheetData>
  <mergeCells count="2">
    <mergeCell ref="A2:AC2"/>
    <mergeCell ref="A1:A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How to read this sheet + number formulas</t>
        </is>
      </c>
    </row>
    <row r="2">
      <c r="A2" s="15" t="inlineStr"/>
    </row>
    <row r="3">
      <c r="A3" s="15" t="inlineStr">
        <is>
          <t>Abbreviations: REC = Roads Export · OX = Onyx · MD = Master Dashboard</t>
        </is>
      </c>
    </row>
    <row r="4">
      <c r="A4" s="15" t="inlineStr"/>
    </row>
    <row r="5">
      <c r="A5" s="15" t="inlineStr">
        <is>
          <t>Colors: Green = REC · Cream = OX · Blue = MD (including blank cells in that row).</t>
        </is>
      </c>
    </row>
    <row r="6">
      <c r="A6" s="15" t="inlineStr"/>
    </row>
    <row r="7">
      <c r="A7" s="15" t="inlineStr">
        <is>
          <t>Correspondence notes appear only when a match is NOT directly above/below, e.g.</t>
        </is>
      </c>
    </row>
    <row r="8">
      <c r="A8" s="15" t="inlineStr">
        <is>
          <t xml:space="preserve">  (Corresponds with 17 in REC and 13 in MD)</t>
        </is>
      </c>
    </row>
    <row r="9">
      <c r="A9" s="15" t="inlineStr"/>
    </row>
    <row r="10">
      <c r="A10" s="16">
        <f>========= NUMBER FORMULAS ==========</f>
        <v/>
      </c>
    </row>
    <row r="11">
      <c r="A11" s="15" t="inlineStr"/>
    </row>
    <row r="12">
      <c r="A12" s="16" t="inlineStr">
        <is>
          <t>Onyx (OX):</t>
        </is>
      </c>
    </row>
    <row r="13">
      <c r="A13" s="15" t="inlineStr">
        <is>
          <t xml:space="preserve">  • Total Saved = max(0, Total Staff Requested − Total Staff Sent)</t>
        </is>
      </c>
    </row>
    <row r="14">
      <c r="A14" s="15" t="inlineStr">
        <is>
          <t xml:space="preserve">  • AFAD Sent = COUNT of GSF AFAD devices listed on REC GSF AFAD for that job</t>
        </is>
      </c>
    </row>
    <row r="15">
      <c r="A15" s="15" t="inlineStr">
        <is>
          <t xml:space="preserve">  • Total Staff Requested / Total Staff Sent = entered or pulled from dispatch (inputs)</t>
        </is>
      </c>
    </row>
    <row r="16">
      <c r="A16" s="15" t="inlineStr"/>
    </row>
    <row r="17">
      <c r="A17" s="16" t="inlineStr">
        <is>
          <t>Master Dashboard (MD):</t>
        </is>
      </c>
    </row>
    <row r="18">
      <c r="A18" s="15" t="inlineStr">
        <is>
          <t xml:space="preserve">  • Unfilled = Required − Assignments</t>
        </is>
      </c>
    </row>
    <row r="19">
      <c r="A19" s="15" t="inlineStr">
        <is>
          <t xml:space="preserve">  • Required / Assignments = entered or pulled from dispatch (inputs)</t>
        </is>
      </c>
    </row>
    <row r="20">
      <c r="A20" s="15" t="inlineStr"/>
    </row>
    <row r="21">
      <c r="A21" s="16" t="inlineStr">
        <is>
          <t>Roads Export (REC):</t>
        </is>
      </c>
    </row>
    <row r="22">
      <c r="A22" s="15" t="inlineStr">
        <is>
          <t xml:space="preserve">  • Unfilled Count = max(0, Required Resources − Assignment Count)</t>
        </is>
      </c>
    </row>
    <row r="23">
      <c r="A23" s="15" t="inlineStr">
        <is>
          <t xml:space="preserve">  • Assignment Count = COUNT of confirmed people in Assigned Employees</t>
        </is>
      </c>
    </row>
    <row r="24">
      <c r="A24" s="15" t="inlineStr">
        <is>
          <t xml:space="preserve">  • Completed Timesheets = COUNT of completed/approved timesheets on the job</t>
        </is>
      </c>
    </row>
    <row r="25">
      <c r="A25" s="15" t="inlineStr">
        <is>
          <t xml:space="preserve">  • Total Timesheets = COUNT of all timesheets on the job</t>
        </is>
      </c>
    </row>
    <row r="26">
      <c r="A26" s="15" t="inlineStr">
        <is>
          <t xml:space="preserve">  • Cancellation Count = COUNT of records in Cancellation Information</t>
        </is>
      </c>
    </row>
    <row r="27">
      <c r="A27" s="15" t="inlineStr">
        <is>
          <t xml:space="preserve">  • Requested Resources / Required Resources = entered or imported headcount (inputs)</t>
        </is>
      </c>
    </row>
    <row r="28">
      <c r="A28" s="15" t="inlineStr">
        <is>
          <t xml:space="preserve">  • GSF AFAD = list of assigned AFAD devices (OX AFAD Sent counts them)</t>
        </is>
      </c>
    </row>
    <row r="29">
      <c r="A29" s="15" t="inlineStr"/>
    </row>
    <row r="30">
      <c r="A30" s="15" t="inlineStr">
        <is>
          <t>Identity fields (Customer/Client, Job Number/Ticket #, etc.) are keys, not calculated.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36" customWidth="1" min="3" max="3"/>
    <col width="36" customWidth="1" min="4" max="4"/>
  </cols>
  <sheetData>
    <row r="1">
      <c r="A1" s="1" t="inlineStr">
        <is>
          <t>All cross-system correspondences</t>
        </is>
      </c>
    </row>
    <row r="2">
      <c r="A2" s="3" t="inlineStr">
        <is>
          <t>REC #</t>
        </is>
      </c>
      <c r="B2" s="3" t="inlineStr">
        <is>
          <t>REC column</t>
        </is>
      </c>
      <c r="C2" s="3" t="inlineStr">
        <is>
          <t>OX # / column</t>
        </is>
      </c>
      <c r="D2" s="3" t="inlineStr">
        <is>
          <t>MD # / column</t>
        </is>
      </c>
    </row>
    <row r="3">
      <c r="A3" s="17" t="n">
        <v>1</v>
      </c>
      <c r="B3" s="17" t="inlineStr">
        <is>
          <t>Customer</t>
        </is>
      </c>
      <c r="C3" s="18" t="inlineStr">
        <is>
          <t>1 / Client</t>
        </is>
      </c>
      <c r="D3" s="19" t="inlineStr">
        <is>
          <t>1 / Customer</t>
        </is>
      </c>
    </row>
    <row r="4">
      <c r="A4" s="17" t="n">
        <v>2</v>
      </c>
      <c r="B4" s="17" t="inlineStr">
        <is>
          <t>Subcontractor</t>
        </is>
      </c>
      <c r="C4" s="18" t="inlineStr">
        <is>
          <t>2 / Subcontractor</t>
        </is>
      </c>
      <c r="D4" s="19" t="inlineStr"/>
    </row>
    <row r="5">
      <c r="A5" s="17" t="n">
        <v>14</v>
      </c>
      <c r="B5" s="17" t="inlineStr">
        <is>
          <t>Job Number</t>
        </is>
      </c>
      <c r="C5" s="18" t="inlineStr">
        <is>
          <t>4 / Ticket #</t>
        </is>
      </c>
      <c r="D5" s="19" t="inlineStr">
        <is>
          <t>5 / Job Number</t>
        </is>
      </c>
    </row>
    <row r="6">
      <c r="A6" s="17" t="n">
        <v>27</v>
      </c>
      <c r="B6" s="17" t="inlineStr">
        <is>
          <t>WO Number</t>
        </is>
      </c>
      <c r="C6" s="18" t="inlineStr"/>
      <c r="D6" s="19" t="inlineStr">
        <is>
          <t>7 / WO Number</t>
        </is>
      </c>
    </row>
    <row r="7">
      <c r="A7" s="17" t="n">
        <v>13</v>
      </c>
      <c r="B7" s="17" t="inlineStr">
        <is>
          <t>Dispatching</t>
        </is>
      </c>
      <c r="C7" s="18" t="inlineStr">
        <is>
          <t>7 / Branch</t>
        </is>
      </c>
      <c r="D7" s="19" t="inlineStr">
        <is>
          <t>4 / Dispatching</t>
        </is>
      </c>
    </row>
    <row r="8">
      <c r="A8" s="17" t="n">
        <v>17</v>
      </c>
      <c r="B8" s="17" t="inlineStr">
        <is>
          <t>Job Type</t>
        </is>
      </c>
      <c r="C8" s="18" t="inlineStr">
        <is>
          <t>3 / Job Type</t>
        </is>
      </c>
      <c r="D8" s="19" t="inlineStr">
        <is>
          <t>13 / Job Type</t>
        </is>
      </c>
    </row>
    <row r="9">
      <c r="A9" s="17" t="n">
        <v>15</v>
      </c>
      <c r="B9" s="17" t="inlineStr">
        <is>
          <t>Job Location Name</t>
        </is>
      </c>
      <c r="C9" s="18" t="inlineStr">
        <is>
          <t>6 / Location</t>
        </is>
      </c>
      <c r="D9" s="19" t="inlineStr">
        <is>
          <t>6 / Job Location</t>
        </is>
      </c>
    </row>
    <row r="10">
      <c r="A10" s="17" t="n">
        <v>6</v>
      </c>
      <c r="B10" s="17" t="inlineStr">
        <is>
          <t>Crew Lead</t>
        </is>
      </c>
      <c r="C10" s="18" t="inlineStr"/>
      <c r="D10" s="19" t="inlineStr">
        <is>
          <t>2 / Crew Lead</t>
        </is>
      </c>
    </row>
    <row r="11">
      <c r="A11" s="17" t="n">
        <v>10</v>
      </c>
      <c r="B11" s="17" t="inlineStr">
        <is>
          <t>Foreman</t>
        </is>
      </c>
      <c r="C11" s="18" t="inlineStr"/>
      <c r="D11" s="19" t="inlineStr">
        <is>
          <t>3 / Customer Foreman</t>
        </is>
      </c>
    </row>
    <row r="12">
      <c r="A12" s="17" t="n">
        <v>11</v>
      </c>
      <c r="B12" s="17" t="inlineStr">
        <is>
          <t>Assignment Date</t>
        </is>
      </c>
      <c r="C12" s="18" t="inlineStr"/>
      <c r="D12" s="19" t="inlineStr">
        <is>
          <t>8 / Date</t>
        </is>
      </c>
    </row>
    <row r="13">
      <c r="A13" s="17" t="n">
        <v>12</v>
      </c>
      <c r="B13" s="17" t="inlineStr">
        <is>
          <t>Start Time</t>
        </is>
      </c>
      <c r="C13" s="18" t="inlineStr">
        <is>
          <t>8 / Work Hours</t>
        </is>
      </c>
      <c r="D13" s="19" t="inlineStr">
        <is>
          <t>9 / Start</t>
        </is>
      </c>
    </row>
    <row r="14">
      <c r="A14" s="17" t="inlineStr"/>
      <c r="B14" s="17" t="inlineStr"/>
      <c r="C14" s="18" t="inlineStr">
        <is>
          <t>9 / Total Staff Requested</t>
        </is>
      </c>
      <c r="D14" s="19" t="inlineStr">
        <is>
          <t>10 / Required</t>
        </is>
      </c>
    </row>
    <row r="15">
      <c r="A15" s="17" t="n">
        <v>18</v>
      </c>
      <c r="B15" s="17" t="inlineStr">
        <is>
          <t>Assignment Count</t>
        </is>
      </c>
      <c r="C15" s="18" t="inlineStr">
        <is>
          <t>10 / Total Staff Sent</t>
        </is>
      </c>
      <c r="D15" s="19" t="inlineStr">
        <is>
          <t>11 / Assignments</t>
        </is>
      </c>
    </row>
    <row r="16">
      <c r="A16" s="17" t="n">
        <v>5</v>
      </c>
      <c r="B16" s="17" t="inlineStr">
        <is>
          <t>Unfilled Count</t>
        </is>
      </c>
      <c r="C16" s="18" t="inlineStr"/>
      <c r="D16" s="19" t="inlineStr">
        <is>
          <t>12 / Unfilled</t>
        </is>
      </c>
    </row>
    <row r="17">
      <c r="A17" s="17" t="n">
        <v>22</v>
      </c>
      <c r="B17" s="17" t="inlineStr">
        <is>
          <t>GSF Job</t>
        </is>
      </c>
      <c r="C17" s="18" t="inlineStr">
        <is>
          <t>5 / Ticket Type</t>
        </is>
      </c>
      <c r="D17" s="19" t="inlineStr">
        <is>
          <t>14 / GSF</t>
        </is>
      </c>
    </row>
    <row r="18">
      <c r="A18" s="17" t="n">
        <v>9</v>
      </c>
      <c r="B18" s="17" t="inlineStr">
        <is>
          <t>GSF AFAD</t>
        </is>
      </c>
      <c r="C18" s="18" t="inlineStr">
        <is>
          <t>12 / AFAD Sent</t>
        </is>
      </c>
      <c r="D18" s="19" t="inlineStr"/>
    </row>
    <row r="19">
      <c r="A19" s="17" t="n">
        <v>21</v>
      </c>
      <c r="B19" s="17" t="inlineStr">
        <is>
          <t>Timesheets</t>
        </is>
      </c>
      <c r="C19" s="18" t="inlineStr">
        <is>
          <t>13 / Notes</t>
        </is>
      </c>
      <c r="D19" s="19" t="inlineStr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</cols>
  <sheetData>
    <row r="1">
      <c r="A1" s="1" t="inlineStr">
        <is>
          <t>How the numbers are calculated</t>
        </is>
      </c>
    </row>
    <row r="2">
      <c r="A2" s="3" t="inlineStr">
        <is>
          <t>System</t>
        </is>
      </c>
      <c r="B2" s="3" t="inlineStr">
        <is>
          <t>Column</t>
        </is>
      </c>
      <c r="C2" s="3" t="inlineStr">
        <is>
          <t>Formula / rule</t>
        </is>
      </c>
    </row>
    <row r="3">
      <c r="A3" s="18" t="inlineStr">
        <is>
          <t>OX</t>
        </is>
      </c>
      <c r="B3" s="20" t="inlineStr">
        <is>
          <t>Total Saved</t>
        </is>
      </c>
      <c r="C3" s="21" t="inlineStr">
        <is>
          <t>max(0, Total Staff Requested − Total Staff Sent)</t>
        </is>
      </c>
    </row>
    <row r="4">
      <c r="A4" s="18" t="inlineStr">
        <is>
          <t>OX</t>
        </is>
      </c>
      <c r="B4" s="20" t="inlineStr">
        <is>
          <t>AFAD Sent</t>
        </is>
      </c>
      <c r="C4" s="21" t="inlineStr">
        <is>
          <t>COUNT of devices listed in REC GSF AFAD for that job</t>
        </is>
      </c>
    </row>
    <row r="5">
      <c r="A5" s="18" t="inlineStr">
        <is>
          <t>OX</t>
        </is>
      </c>
      <c r="B5" s="20" t="inlineStr">
        <is>
          <t>Total Staff Requested</t>
        </is>
      </c>
      <c r="C5" s="21" t="inlineStr">
        <is>
          <t>Input (entered or pulled from dispatch)</t>
        </is>
      </c>
    </row>
    <row r="6">
      <c r="A6" s="18" t="inlineStr">
        <is>
          <t>OX</t>
        </is>
      </c>
      <c r="B6" s="20" t="inlineStr">
        <is>
          <t>Total Staff Sent</t>
        </is>
      </c>
      <c r="C6" s="21" t="inlineStr">
        <is>
          <t>Input (entered or pulled from dispatch)</t>
        </is>
      </c>
    </row>
    <row r="7">
      <c r="A7" s="19" t="inlineStr">
        <is>
          <t>MD</t>
        </is>
      </c>
      <c r="B7" s="22" t="inlineStr">
        <is>
          <t>Unfilled</t>
        </is>
      </c>
      <c r="C7" s="23" t="inlineStr">
        <is>
          <t>Required − Assignments</t>
        </is>
      </c>
    </row>
    <row r="8">
      <c r="A8" s="19" t="inlineStr">
        <is>
          <t>MD</t>
        </is>
      </c>
      <c r="B8" s="22" t="inlineStr">
        <is>
          <t>Required</t>
        </is>
      </c>
      <c r="C8" s="23" t="inlineStr">
        <is>
          <t>Input (entered or pulled from dispatch)</t>
        </is>
      </c>
    </row>
    <row r="9">
      <c r="A9" s="19" t="inlineStr">
        <is>
          <t>MD</t>
        </is>
      </c>
      <c r="B9" s="22" t="inlineStr">
        <is>
          <t>Assignments</t>
        </is>
      </c>
      <c r="C9" s="23" t="inlineStr">
        <is>
          <t>Input (entered or pulled from dispatch)</t>
        </is>
      </c>
    </row>
    <row r="10">
      <c r="A10" s="17" t="inlineStr">
        <is>
          <t>REC</t>
        </is>
      </c>
      <c r="B10" s="24" t="inlineStr">
        <is>
          <t>Unfilled Count</t>
        </is>
      </c>
      <c r="C10" s="25" t="inlineStr">
        <is>
          <t>max(0, Required Resources − Assignment Count)</t>
        </is>
      </c>
    </row>
    <row r="11">
      <c r="A11" s="17" t="inlineStr">
        <is>
          <t>REC</t>
        </is>
      </c>
      <c r="B11" s="24" t="inlineStr">
        <is>
          <t>Assignment Count</t>
        </is>
      </c>
      <c r="C11" s="25" t="inlineStr">
        <is>
          <t>COUNT of confirmed people in Assigned Employees</t>
        </is>
      </c>
    </row>
    <row r="12">
      <c r="A12" s="17" t="inlineStr">
        <is>
          <t>REC</t>
        </is>
      </c>
      <c r="B12" s="24" t="inlineStr">
        <is>
          <t>Completed Timesheets</t>
        </is>
      </c>
      <c r="C12" s="25" t="inlineStr">
        <is>
          <t>COUNT of completed/approved timesheets on the job</t>
        </is>
      </c>
    </row>
    <row r="13">
      <c r="A13" s="17" t="inlineStr">
        <is>
          <t>REC</t>
        </is>
      </c>
      <c r="B13" s="24" t="inlineStr">
        <is>
          <t>Total Timesheets</t>
        </is>
      </c>
      <c r="C13" s="25" t="inlineStr">
        <is>
          <t>COUNT of all timesheets on the job</t>
        </is>
      </c>
    </row>
    <row r="14">
      <c r="A14" s="17" t="inlineStr">
        <is>
          <t>REC</t>
        </is>
      </c>
      <c r="B14" s="24" t="inlineStr">
        <is>
          <t>Cancellation Count</t>
        </is>
      </c>
      <c r="C14" s="25" t="inlineStr">
        <is>
          <t>COUNT of records in Cancellation Information</t>
        </is>
      </c>
    </row>
    <row r="15">
      <c r="A15" s="17" t="inlineStr">
        <is>
          <t>REC</t>
        </is>
      </c>
      <c r="B15" s="24" t="inlineStr">
        <is>
          <t>Requested Resources</t>
        </is>
      </c>
      <c r="C15" s="25" t="inlineStr">
        <is>
          <t>Input (entered or imported)</t>
        </is>
      </c>
    </row>
    <row r="16">
      <c r="A16" s="17" t="inlineStr">
        <is>
          <t>REC</t>
        </is>
      </c>
      <c r="B16" s="24" t="inlineStr">
        <is>
          <t>Required Resources</t>
        </is>
      </c>
      <c r="C16" s="25" t="inlineStr">
        <is>
          <t>Input (entered or imported)</t>
        </is>
      </c>
    </row>
    <row r="17">
      <c r="A17" s="17" t="inlineStr">
        <is>
          <t>REC</t>
        </is>
      </c>
      <c r="B17" s="24" t="inlineStr">
        <is>
          <t>GSF AFAD</t>
        </is>
      </c>
      <c r="C17" s="25" t="inlineStr">
        <is>
          <t>List of assigned AFAD devices (counted by OX AFAD Sent)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2026-10-07T15:24:24Z</dcterms:created>
  <dcterms:modified xmlns:dcterms="http://purl.org/dc/terms/" xmlns:xsi="http://www.w3.org/2001/XMLSchema-instance" xsi:type="dcterms:W3CDTF">2026-10-07T15:24:24Z</dcterms:modified>
</cp:coreProperties>
</file>